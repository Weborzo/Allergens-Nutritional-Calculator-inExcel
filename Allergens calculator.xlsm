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ahda\Downloads\"/>
    </mc:Choice>
  </mc:AlternateContent>
  <xr:revisionPtr revIDLastSave="0" documentId="13_ncr:1_{6AE2AD86-3607-4F19-AF8B-10A95E1E07CB}" xr6:coauthVersionLast="47" xr6:coauthVersionMax="47" xr10:uidLastSave="{00000000-0000-0000-0000-000000000000}"/>
  <bookViews>
    <workbookView xWindow="22932" yWindow="-108" windowWidth="23256" windowHeight="12576" activeTab="2" xr2:uid="{CABF7E60-8BB8-476D-90EA-6D9FBBFA5D49}"/>
  </bookViews>
  <sheets>
    <sheet name="ADDING INGREDIENTS" sheetId="5" r:id="rId1"/>
    <sheet name="Ingredients" sheetId="2" r:id="rId2"/>
    <sheet name="Summary" sheetId="3" r:id="rId3"/>
    <sheet name="FormControl" sheetId="4" state="hidden" r:id="rId4"/>
  </sheets>
  <definedNames>
    <definedName name="_xleta.IF" hidden="1" xlm="1">#NAME?</definedName>
    <definedName name="_xleta.SUMPRODUC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3" l="1"/>
  <c r="C16" i="3"/>
  <c r="C15" i="3"/>
  <c r="C14" i="3"/>
  <c r="C13" i="3"/>
  <c r="C12" i="3"/>
  <c r="C11" i="3"/>
  <c r="C10" i="3"/>
  <c r="D34" i="3"/>
  <c r="C34" i="3" a="1"/>
  <c r="C34" i="3" s="1"/>
  <c r="D33" i="3"/>
  <c r="C33" i="3" a="1"/>
  <c r="C33" i="3" s="1"/>
  <c r="D32" i="3"/>
  <c r="C32" i="3" a="1"/>
  <c r="C32" i="3" s="1"/>
  <c r="D31" i="3"/>
  <c r="C31" i="3" a="1"/>
  <c r="C31" i="3" s="1"/>
  <c r="D30" i="3"/>
  <c r="C30" i="3" a="1"/>
  <c r="C30" i="3" s="1"/>
  <c r="D29" i="3"/>
  <c r="C29" i="3" a="1"/>
  <c r="C29" i="3" s="1"/>
  <c r="D28" i="3"/>
  <c r="C28" i="3" a="1"/>
  <c r="C28" i="3" s="1"/>
  <c r="D27" i="3"/>
  <c r="C27" i="3" a="1"/>
  <c r="C27" i="3" s="1"/>
  <c r="D26" i="3"/>
  <c r="C26" i="3" a="1"/>
  <c r="C26" i="3" s="1"/>
  <c r="D25" i="3"/>
  <c r="C25" i="3" a="1"/>
  <c r="C25" i="3" s="1"/>
  <c r="D24" i="3"/>
  <c r="C24" i="3" a="1"/>
  <c r="C24" i="3" s="1"/>
  <c r="D23" i="3"/>
  <c r="C23" i="3" a="1"/>
  <c r="C23" i="3" s="1"/>
  <c r="D22" i="3"/>
  <c r="C22" i="3" a="1"/>
  <c r="C22" i="3" s="1"/>
  <c r="D21" i="3"/>
  <c r="C21" i="3" a="1"/>
  <c r="C21" i="3" s="1"/>
  <c r="J18" i="3" l="1"/>
  <c r="J17" i="3"/>
  <c r="J16" i="3"/>
  <c r="J15" i="3"/>
  <c r="J14" i="3"/>
  <c r="J13" i="3"/>
  <c r="E10" i="3" l="1"/>
  <c r="J12" i="3" s="1"/>
  <c r="J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<sst xmlns="http://schemas.openxmlformats.org/spreadsheetml/2006/main" count="72" uniqueCount="51">
  <si>
    <t>Salt (g)</t>
  </si>
  <si>
    <t>Ingredient Name</t>
  </si>
  <si>
    <t>Quantity (g)</t>
  </si>
  <si>
    <t>Calories per 100g</t>
  </si>
  <si>
    <t>Fat (g)</t>
  </si>
  <si>
    <t>of which saturates (g)</t>
  </si>
  <si>
    <t>Carbohydrate (g)</t>
  </si>
  <si>
    <t>of which sugars (g)</t>
  </si>
  <si>
    <t>Fibre (g)</t>
  </si>
  <si>
    <t>Protein (g)</t>
  </si>
  <si>
    <t>May Contain</t>
  </si>
  <si>
    <t>Allergen Information</t>
  </si>
  <si>
    <t>Contains</t>
  </si>
  <si>
    <t>Celery</t>
  </si>
  <si>
    <t>Eggs</t>
  </si>
  <si>
    <t>Cereals containing gluten (such as wheat, rye, barley, and oats)</t>
  </si>
  <si>
    <t>Crustaceans (such as prawns, crabs and lobsters)</t>
  </si>
  <si>
    <t>Fish</t>
  </si>
  <si>
    <t>Lupin</t>
  </si>
  <si>
    <t>Milk</t>
  </si>
  <si>
    <t>Molluscs (such as mussels and oysters)</t>
  </si>
  <si>
    <t>Mustard</t>
  </si>
  <si>
    <t>Peanuts</t>
  </si>
  <si>
    <t>Sesame</t>
  </si>
  <si>
    <t>Soybeans</t>
  </si>
  <si>
    <t>Tree nuts (such as almonds, hazelnuts, walnuts, brazil nuts, cashews, pecans, pistachios and macadamia nuts)</t>
  </si>
  <si>
    <t>Sulphur dioxide and sulphites</t>
  </si>
  <si>
    <t>Sulphur</t>
  </si>
  <si>
    <t>Gluten</t>
  </si>
  <si>
    <t>Crustaceans</t>
  </si>
  <si>
    <t>Molluscs</t>
  </si>
  <si>
    <t>Tree nuts</t>
  </si>
  <si>
    <t>Yes</t>
  </si>
  <si>
    <t>Mc</t>
  </si>
  <si>
    <t>Test012</t>
  </si>
  <si>
    <t>Allergens &amp; Nutritional Calculator</t>
  </si>
  <si>
    <t>Total Calories (Kcal)</t>
  </si>
  <si>
    <t>Total Calories (KJ)</t>
  </si>
  <si>
    <t>NUTRITION INFORMATION</t>
  </si>
  <si>
    <t>PER 100g</t>
  </si>
  <si>
    <t>Ingredients</t>
  </si>
  <si>
    <t>Energy</t>
  </si>
  <si>
    <t xml:space="preserve">Fat </t>
  </si>
  <si>
    <t>Saturates</t>
  </si>
  <si>
    <t>Carbohydrate</t>
  </si>
  <si>
    <t>Sugars</t>
  </si>
  <si>
    <t>Protein</t>
  </si>
  <si>
    <t xml:space="preserve">Salt </t>
  </si>
  <si>
    <t>Kcal</t>
  </si>
  <si>
    <t>KJ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</si>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</sst>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sz val="2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Dot">
        <color indexed="64"/>
      </left>
      <right/>
      <top/>
      <bottom/>
      <diagonal/>
    </border>
    <border>
      <left/>
      <right/>
      <top/>
      <bottom style="mediumDashDot">
        <color indexed="64"/>
      </bottom>
      <diagonal/>
    </border>
    <border>
      <left/>
      <right/>
      <top style="mediumDashDot">
        <color indexed="64"/>
      </top>
      <bottom/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mediumDashDot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indent="3"/>
    </xf>
    <xf numFmtId="2" fontId="0" fillId="2" borderId="0" xfId="0" applyNumberFormat="1" applyFill="1"/>
    <xf numFmtId="0" fontId="0" fillId="2" borderId="12" xfId="0" applyFill="1" applyBorder="1"/>
    <xf numFmtId="0" fontId="0" fillId="2" borderId="13" xfId="0" applyFill="1" applyBorder="1"/>
    <xf numFmtId="0" fontId="0" fillId="2" borderId="10" xfId="0" applyFill="1" applyBorder="1"/>
    <xf numFmtId="0" fontId="0" fillId="2" borderId="10" xfId="0" applyFill="1" applyBorder="1" applyAlignment="1">
      <alignment horizontal="left" indent="3"/>
    </xf>
    <xf numFmtId="0" fontId="0" fillId="2" borderId="11" xfId="0" applyFill="1" applyBorder="1"/>
    <xf numFmtId="0" fontId="0" fillId="2" borderId="14" xfId="0" applyFill="1" applyBorder="1"/>
    <xf numFmtId="0" fontId="0" fillId="2" borderId="2" xfId="0" applyFill="1" applyBorder="1"/>
    <xf numFmtId="0" fontId="4" fillId="2" borderId="8" xfId="0" applyFont="1" applyFill="1" applyBorder="1"/>
    <xf numFmtId="2" fontId="4" fillId="2" borderId="9" xfId="0" applyNumberFormat="1" applyFont="1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1" xfId="0" applyFill="1" applyBorder="1" applyAlignment="1">
      <alignment vertical="top" wrapText="1"/>
    </xf>
    <xf numFmtId="2" fontId="0" fillId="2" borderId="3" xfId="0" applyNumberFormat="1" applyFill="1" applyBorder="1"/>
    <xf numFmtId="2" fontId="0" fillId="2" borderId="5" xfId="0" applyNumberFormat="1" applyFill="1" applyBorder="1"/>
    <xf numFmtId="2" fontId="0" fillId="2" borderId="7" xfId="0" applyNumberFormat="1" applyFill="1" applyBorder="1"/>
    <xf numFmtId="0" fontId="3" fillId="2" borderId="0" xfId="0" applyFont="1" applyFill="1" applyAlignment="1">
      <alignment horizontal="center" vertical="center"/>
    </xf>
    <xf numFmtId="0" fontId="0" fillId="2" borderId="10" xfId="0" applyFill="1" applyBorder="1" applyAlignment="1">
      <alignment horizontal="center" vertical="top" wrapText="1"/>
    </xf>
    <xf numFmtId="0" fontId="0" fillId="2" borderId="0" xfId="0" applyFill="1" applyAlignment="1">
      <alignment horizontal="center" vertical="top" wrapText="1"/>
    </xf>
    <xf numFmtId="0" fontId="0" fillId="2" borderId="14" xfId="0" applyFill="1" applyBorder="1" applyAlignment="1">
      <alignment horizontal="center" vertical="top" wrapText="1"/>
    </xf>
    <xf numFmtId="0" fontId="0" fillId="2" borderId="15" xfId="0" applyFill="1" applyBorder="1" applyAlignment="1">
      <alignment horizontal="center" vertical="top" wrapText="1"/>
    </xf>
    <xf numFmtId="0" fontId="0" fillId="2" borderId="11" xfId="0" applyFill="1" applyBorder="1" applyAlignment="1">
      <alignment horizontal="center" vertical="top" wrapText="1"/>
    </xf>
    <xf numFmtId="0" fontId="0" fillId="2" borderId="16" xfId="0" applyFill="1" applyBorder="1" applyAlignment="1">
      <alignment horizontal="center" vertical="top" wrapText="1"/>
    </xf>
    <xf numFmtId="0" fontId="0" fillId="2" borderId="1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0" xfId="0" applyFill="1" applyBorder="1" applyAlignment="1">
      <alignment horizontal="left" indent="3"/>
    </xf>
    <xf numFmtId="0" fontId="0" fillId="2" borderId="0" xfId="0" applyFill="1" applyAlignment="1">
      <alignment horizontal="left" indent="3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</xdr:row>
      <xdr:rowOff>167640</xdr:rowOff>
    </xdr:from>
    <xdr:to>
      <xdr:col>5</xdr:col>
      <xdr:colOff>365760</xdr:colOff>
      <xdr:row>13</xdr:row>
      <xdr:rowOff>121920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DBA0CD-623F-30F5-BDCC-FD743D8BEAA3}"/>
            </a:ext>
          </a:extLst>
        </xdr:cNvPr>
        <xdr:cNvSpPr/>
      </xdr:nvSpPr>
      <xdr:spPr>
        <a:xfrm>
          <a:off x="617220" y="1082040"/>
          <a:ext cx="2796540" cy="14173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8</xdr:row>
          <xdr:rowOff>60960</xdr:rowOff>
        </xdr:from>
        <xdr:to>
          <xdr:col>4</xdr:col>
          <xdr:colOff>441960</xdr:colOff>
          <xdr:row>11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ADD INGREDIENTS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457200</xdr:colOff>
      <xdr:row>8</xdr:row>
      <xdr:rowOff>121920</xdr:rowOff>
    </xdr:from>
    <xdr:to>
      <xdr:col>7</xdr:col>
      <xdr:colOff>335280</xdr:colOff>
      <xdr:row>10</xdr:row>
      <xdr:rowOff>144780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CCA88AA-5E0B-DFB9-0DC1-5CAE7728BE93}"/>
            </a:ext>
          </a:extLst>
        </xdr:cNvPr>
        <xdr:cNvSpPr/>
      </xdr:nvSpPr>
      <xdr:spPr>
        <a:xfrm rot="10800000">
          <a:off x="3505200" y="1584960"/>
          <a:ext cx="1097280" cy="38862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441960</xdr:colOff>
      <xdr:row>6</xdr:row>
      <xdr:rowOff>30480</xdr:rowOff>
    </xdr:from>
    <xdr:to>
      <xdr:col>13</xdr:col>
      <xdr:colOff>373380</xdr:colOff>
      <xdr:row>26</xdr:row>
      <xdr:rowOff>45720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2F39FFA-A9CD-EA3A-CE18-C76085F992FD}"/>
            </a:ext>
          </a:extLst>
        </xdr:cNvPr>
        <xdr:cNvSpPr/>
      </xdr:nvSpPr>
      <xdr:spPr>
        <a:xfrm>
          <a:off x="4709160" y="1127760"/>
          <a:ext cx="3589020" cy="3672840"/>
        </a:xfrm>
        <a:prstGeom prst="rect">
          <a:avLst/>
        </a:prstGeom>
        <a:ln>
          <a:solidFill>
            <a:schemeClr val="bg2">
              <a:lumMod val="2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600" b="1" u="sng"/>
            <a:t>User Guidance</a:t>
          </a:r>
        </a:p>
        <a:p>
          <a:r>
            <a:rPr lang="en-GB" sz="1600"/>
            <a:t>1. Click the </a:t>
          </a:r>
          <a:r>
            <a:rPr lang="en-GB" sz="1600" b="1"/>
            <a:t>"ADD INGREDIENTS"</a:t>
          </a:r>
          <a:r>
            <a:rPr lang="en-GB" sz="1600"/>
            <a:t> button.</a:t>
          </a:r>
        </a:p>
        <a:p>
          <a:r>
            <a:rPr lang="en-GB" sz="1600"/>
            <a:t>2. Fill out the form for each ingredient in your product.</a:t>
          </a:r>
          <a:br>
            <a:rPr lang="en-GB" sz="1600"/>
          </a:br>
          <a:r>
            <a:rPr lang="en-GB" sz="1600" b="1"/>
            <a:t>Note:</a:t>
          </a:r>
          <a:r>
            <a:rPr lang="en-GB" sz="1600"/>
            <a:t> If an ingredient has no allergens, do </a:t>
          </a:r>
          <a:r>
            <a:rPr lang="en-GB" sz="1600" b="1"/>
            <a:t>not</a:t>
          </a:r>
          <a:r>
            <a:rPr lang="en-GB" sz="1600"/>
            <a:t> select </a:t>
          </a:r>
          <a:r>
            <a:rPr lang="en-GB" sz="1600" b="1"/>
            <a:t>"Yes"</a:t>
          </a:r>
          <a:r>
            <a:rPr lang="en-GB" sz="1600"/>
            <a:t> or </a:t>
          </a:r>
          <a:r>
            <a:rPr lang="en-GB" sz="1600" b="1"/>
            <a:t>"MC"</a:t>
          </a:r>
          <a:r>
            <a:rPr lang="en-GB" sz="1600"/>
            <a:t>.</a:t>
          </a:r>
        </a:p>
        <a:p>
          <a:r>
            <a:rPr lang="en-GB" sz="1600"/>
            <a:t>3. Click the </a:t>
          </a:r>
          <a:r>
            <a:rPr lang="en-GB" sz="1600" b="1"/>
            <a:t>"ADD"</a:t>
          </a:r>
          <a:r>
            <a:rPr lang="en-GB" sz="1600"/>
            <a:t> button to add the ingredient details to the </a:t>
          </a:r>
          <a:r>
            <a:rPr lang="en-GB" sz="1600" b="1"/>
            <a:t>"Ingredients"</a:t>
          </a:r>
          <a:r>
            <a:rPr lang="en-GB" sz="1600"/>
            <a:t> sheet.</a:t>
          </a:r>
        </a:p>
        <a:p>
          <a:r>
            <a:rPr lang="en-GB" sz="1600"/>
            <a:t>4. Repeat the above steps until all ingredients for your product have been added.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6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5. Click the </a:t>
          </a:r>
          <a:r>
            <a:rPr kumimoji="0" lang="en-GB" sz="16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"Cancel"</a:t>
          </a:r>
          <a:r>
            <a:rPr kumimoji="0" lang="en-GB" sz="16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button to enter once all ingredients added.</a:t>
          </a:r>
        </a:p>
        <a:p>
          <a:endParaRPr lang="en-GB" sz="1600"/>
        </a:p>
        <a:p>
          <a:pPr algn="l"/>
          <a:endParaRPr lang="en-GB" sz="1100"/>
        </a:p>
      </xdr:txBody>
    </xdr:sp>
    <xdr:clientData/>
  </xdr:twoCellAnchor>
  <xdr:twoCellAnchor editAs="oneCell">
    <xdr:from>
      <xdr:col>14</xdr:col>
      <xdr:colOff>5378</xdr:colOff>
      <xdr:row>6</xdr:row>
      <xdr:rowOff>15239</xdr:rowOff>
    </xdr:from>
    <xdr:to>
      <xdr:col>17</xdr:col>
      <xdr:colOff>449580</xdr:colOff>
      <xdr:row>26</xdr:row>
      <xdr:rowOff>54430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4496E6-0E5C-916D-418A-8A6E65257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9778" y="1112519"/>
          <a:ext cx="2273002" cy="3696791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14</xdr:row>
      <xdr:rowOff>83820</xdr:rowOff>
    </xdr:from>
    <xdr:to>
      <xdr:col>5</xdr:col>
      <xdr:colOff>281940</xdr:colOff>
      <xdr:row>28</xdr:row>
      <xdr:rowOff>53340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5344655-C4A3-7328-4357-9BA6F91C8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644140"/>
          <a:ext cx="2529840" cy="2529840"/>
        </a:xfrm>
        <a:prstGeom prst="rect">
          <a:avLst/>
        </a:prstGeom>
      </xdr:spPr>
    </xdr:pic>
    <xdr:clientData/>
  </xdr:twoCellAnchor>
  <xdr:oneCellAnchor>
    <xdr:from>
      <xdr:col>7</xdr:col>
      <xdr:colOff>114300</xdr:colOff>
      <xdr:row>3</xdr:row>
      <xdr:rowOff>68580</xdr:rowOff>
    </xdr:from>
    <xdr:ext cx="7216140" cy="468013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52988E5-4808-4C22-AFFD-7C75DF020A1D}"/>
            </a:ext>
          </a:extLst>
        </xdr:cNvPr>
        <xdr:cNvSpPr txBox="1"/>
      </xdr:nvSpPr>
      <xdr:spPr>
        <a:xfrm>
          <a:off x="4381500" y="617220"/>
          <a:ext cx="721614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2400" b="1"/>
            <a:t>COPY RIGHTS @ WEBORZO TECH LONDON LIMITED</a:t>
          </a:r>
        </a:p>
      </xdr:txBody>
    </xdr:sp>
    <xdr:clientData/>
  </xdr:oneCellAnchor>
  <xdr:twoCellAnchor>
    <xdr:from>
      <xdr:col>17</xdr:col>
      <xdr:colOff>571500</xdr:colOff>
      <xdr:row>6</xdr:row>
      <xdr:rowOff>0</xdr:rowOff>
    </xdr:from>
    <xdr:to>
      <xdr:col>22</xdr:col>
      <xdr:colOff>137160</xdr:colOff>
      <xdr:row>19</xdr:row>
      <xdr:rowOff>22860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82847163-FAC0-E390-67C3-499A729B4C52}"/>
            </a:ext>
          </a:extLst>
        </xdr:cNvPr>
        <xdr:cNvSpPr/>
      </xdr:nvSpPr>
      <xdr:spPr>
        <a:xfrm>
          <a:off x="10934700" y="1097280"/>
          <a:ext cx="2613660" cy="2400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400" b="1"/>
            <a:t>Develop By</a:t>
          </a:r>
        </a:p>
        <a:p>
          <a:pPr algn="l"/>
          <a:endParaRPr lang="en-GB" sz="1100"/>
        </a:p>
        <a:p>
          <a:pPr algn="l"/>
          <a:r>
            <a:rPr lang="en-GB" sz="1100" b="1"/>
            <a:t>Weborzo Tech London Limited</a:t>
          </a:r>
        </a:p>
        <a:p>
          <a:pPr algn="l"/>
          <a:endParaRPr lang="en-GB" sz="1100" b="1"/>
        </a:p>
        <a:p>
          <a:pPr algn="l"/>
          <a:r>
            <a:rPr lang="en-GB" sz="1100" b="1"/>
            <a:t>Website: www.weborzo.co.uk</a:t>
          </a:r>
        </a:p>
        <a:p>
          <a:pPr algn="l"/>
          <a:r>
            <a:rPr lang="en-GB" sz="1100" b="1"/>
            <a:t>Email:</a:t>
          </a:r>
          <a:r>
            <a:rPr lang="en-GB" sz="1100" b="1" baseline="0"/>
            <a:t> info@weborzo.co.uk</a:t>
          </a:r>
        </a:p>
        <a:p>
          <a:pPr algn="l"/>
          <a:r>
            <a:rPr lang="en-GB" sz="1100" b="1" baseline="0"/>
            <a:t>Telephone: 01923939915</a:t>
          </a:r>
        </a:p>
        <a:p>
          <a:pPr algn="l"/>
          <a:endParaRPr lang="en-GB" sz="1100" b="1" baseline="0"/>
        </a:p>
        <a:p>
          <a:pPr algn="l"/>
          <a:r>
            <a:rPr lang="en-GB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Weborzo Tech London Limited and registered in England and Wales (Company No: 13102067).</a:t>
          </a:r>
          <a:endParaRPr lang="en-GB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944880</xdr:colOff>
      <xdr:row>20</xdr:row>
      <xdr:rowOff>0</xdr:rowOff>
    </xdr:from>
    <xdr:to>
      <xdr:col>2</xdr:col>
      <xdr:colOff>807720</xdr:colOff>
      <xdr:row>23</xdr:row>
      <xdr:rowOff>137160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589AFC-6118-9CC5-1CA7-8533A9149682}"/>
            </a:ext>
          </a:extLst>
        </xdr:cNvPr>
        <xdr:cNvSpPr/>
      </xdr:nvSpPr>
      <xdr:spPr>
        <a:xfrm>
          <a:off x="944880" y="3657600"/>
          <a:ext cx="1866900" cy="685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1120140</xdr:colOff>
          <xdr:row>21</xdr:row>
          <xdr:rowOff>0</xdr:rowOff>
        </xdr:from>
        <xdr:to>
          <xdr:col>2</xdr:col>
          <xdr:colOff>640080</xdr:colOff>
          <xdr:row>22</xdr:row>
          <xdr:rowOff>167640</xdr:rowOff>
        </xdr:to>
        <xdr:sp macro="" textlink="">
          <xdr:nvSpPr>
            <xdr:cNvPr id="7169" name="DeleteIngredientsLis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182880</xdr:colOff>
      <xdr:row>19</xdr:row>
      <xdr:rowOff>7620</xdr:rowOff>
    </xdr:from>
    <xdr:to>
      <xdr:col>6</xdr:col>
      <xdr:colOff>175260</xdr:colOff>
      <xdr:row>24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AFF687A-BDC9-5490-46BD-B75AF09A64CA}"/>
            </a:ext>
          </a:extLst>
        </xdr:cNvPr>
        <xdr:cNvSpPr/>
      </xdr:nvSpPr>
      <xdr:spPr>
        <a:xfrm>
          <a:off x="3360420" y="3482340"/>
          <a:ext cx="3147060" cy="10591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/>
            <a:t>This sheet collects data from user inputs for ingredients.</a:t>
          </a:r>
        </a:p>
        <a:p>
          <a:r>
            <a:rPr lang="en-GB"/>
            <a:t>Once you have completed the task of creating the nutritional and allergen details for a product, click the </a:t>
          </a:r>
          <a:r>
            <a:rPr lang="en-GB" b="1"/>
            <a:t>"Clear Data"</a:t>
          </a:r>
          <a:r>
            <a:rPr lang="en-GB"/>
            <a:t> button to reset the sheet.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167640</xdr:rowOff>
    </xdr:from>
    <xdr:to>
      <xdr:col>11</xdr:col>
      <xdr:colOff>7620</xdr:colOff>
      <xdr:row>3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5B1B4DD-5817-4363-4901-706C94004680}"/>
            </a:ext>
          </a:extLst>
        </xdr:cNvPr>
        <xdr:cNvSpPr/>
      </xdr:nvSpPr>
      <xdr:spPr>
        <a:xfrm>
          <a:off x="609600" y="167640"/>
          <a:ext cx="8016240" cy="5562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/>
            <a:t>NUTRITIONAL</a:t>
          </a:r>
          <a:r>
            <a:rPr lang="en-GB" sz="2800" baseline="0"/>
            <a:t> &amp; ALLERGENS DASHBOARD</a:t>
          </a:r>
          <a:endParaRPr lang="en-GB" sz="2800"/>
        </a:p>
      </xdr:txBody>
    </xdr:sp>
    <xdr:clientData/>
  </xdr:twoCellAnchor>
  <xdr:twoCellAnchor editAs="oneCell">
    <xdr:from>
      <xdr:col>11</xdr:col>
      <xdr:colOff>558800</xdr:colOff>
      <xdr:row>0</xdr:row>
      <xdr:rowOff>0</xdr:rowOff>
    </xdr:from>
    <xdr:to>
      <xdr:col>19</xdr:col>
      <xdr:colOff>558800</xdr:colOff>
      <xdr:row>21</xdr:row>
      <xdr:rowOff>678180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D641926-1664-D4F4-F2C4-265644D06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7867" y="0"/>
          <a:ext cx="4876800" cy="46236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22</xdr:row>
          <xdr:rowOff>83820</xdr:rowOff>
        </xdr:from>
        <xdr:to>
          <xdr:col>10</xdr:col>
          <xdr:colOff>571500</xdr:colOff>
          <xdr:row>22</xdr:row>
          <xdr:rowOff>396240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ADD INGREDIENTS TO LABEL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287866</xdr:colOff>
      <xdr:row>21</xdr:row>
      <xdr:rowOff>550332</xdr:rowOff>
    </xdr:from>
    <xdr:to>
      <xdr:col>19</xdr:col>
      <xdr:colOff>135466</xdr:colOff>
      <xdr:row>22</xdr:row>
      <xdr:rowOff>406399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2075154-DFD5-211B-3731-8886FEE6564A}"/>
            </a:ext>
          </a:extLst>
        </xdr:cNvPr>
        <xdr:cNvSpPr/>
      </xdr:nvSpPr>
      <xdr:spPr>
        <a:xfrm>
          <a:off x="9516533" y="4495799"/>
          <a:ext cx="4114800" cy="5926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/>
            <a:t>Click the </a:t>
          </a:r>
          <a:r>
            <a:rPr lang="en-GB" b="1"/>
            <a:t>"ADD INGREDIENTS TO LABEL"</a:t>
          </a:r>
          <a:r>
            <a:rPr lang="en-GB"/>
            <a:t> button to generate the ingredients list for the product label.</a:t>
          </a:r>
          <a:endParaRPr lang="en-GB" sz="1100"/>
        </a:p>
      </xdr:txBody>
    </xdr:sp>
    <xdr:clientData/>
  </xdr:twoCellAnchor>
  <xdr:twoCellAnchor>
    <xdr:from>
      <xdr:col>11</xdr:col>
      <xdr:colOff>33867</xdr:colOff>
      <xdr:row>22</xdr:row>
      <xdr:rowOff>76200</xdr:rowOff>
    </xdr:from>
    <xdr:to>
      <xdr:col>12</xdr:col>
      <xdr:colOff>245533</xdr:colOff>
      <xdr:row>22</xdr:row>
      <xdr:rowOff>389467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8064F18F-6727-C02A-8983-470325CAE20C}"/>
            </a:ext>
          </a:extLst>
        </xdr:cNvPr>
        <xdr:cNvSpPr/>
      </xdr:nvSpPr>
      <xdr:spPr>
        <a:xfrm rot="5400000">
          <a:off x="8906933" y="4504268"/>
          <a:ext cx="313267" cy="821266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22BDF-107D-40A2-A055-CFB89D3AEEC7}">
  <sheetPr codeName="Sheet4"/>
  <dimension ref="B2:K12"/>
  <sheetViews>
    <sheetView zoomScale="90" zoomScaleNormal="90" workbookViewId="0">
      <selection activeCell="V22" sqref="V22"/>
    </sheetView>
  </sheetViews>
  <sheetFormatPr defaultRowHeight="14.4" x14ac:dyDescent="0.3"/>
  <cols>
    <col min="1" max="16384" width="8.88671875" style="1"/>
  </cols>
  <sheetData>
    <row r="2" spans="2:11" x14ac:dyDescent="0.3">
      <c r="B2" s="21" t="s">
        <v>35</v>
      </c>
      <c r="C2" s="21"/>
      <c r="D2" s="21"/>
      <c r="E2" s="21"/>
      <c r="F2" s="21"/>
      <c r="G2" s="21"/>
      <c r="H2" s="21"/>
      <c r="I2" s="21"/>
    </row>
    <row r="3" spans="2:11" x14ac:dyDescent="0.3">
      <c r="B3" s="21"/>
      <c r="C3" s="21"/>
      <c r="D3" s="21"/>
      <c r="E3" s="21"/>
      <c r="F3" s="21"/>
      <c r="G3" s="21"/>
      <c r="H3" s="21"/>
      <c r="I3" s="21"/>
    </row>
    <row r="4" spans="2:11" x14ac:dyDescent="0.3">
      <c r="B4" s="21"/>
      <c r="C4" s="21"/>
      <c r="D4" s="21"/>
      <c r="E4" s="21"/>
      <c r="F4" s="21"/>
      <c r="G4" s="21"/>
      <c r="H4" s="21"/>
      <c r="I4" s="21"/>
    </row>
    <row r="12" spans="2:11" x14ac:dyDescent="0.3">
      <c r="K12" s="2"/>
    </row>
  </sheetData>
  <sheetProtection algorithmName="SHA-512" hashValue="GBcDIn4GKySTrO0y7RPWdZ8p/YcNWWD+zDwlITiheCB023VJlqQQ4T2u2HfAQ8H5I5NEaBIIYBckMNd6QGRdOw==" saltValue="vXz2s4dJ+fH2m1X7d9Glyw==" spinCount="100000" sheet="1" objects="1" scenarios="1" selectLockedCells="1" selectUnlockedCells="1"/>
  <mergeCells count="1">
    <mergeCell ref="B2:I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DDIngredients">
                <anchor moveWithCells="1" sizeWithCells="1">
                  <from>
                    <xdr:col>1</xdr:col>
                    <xdr:colOff>571500</xdr:colOff>
                    <xdr:row>8</xdr:row>
                    <xdr:rowOff>60960</xdr:rowOff>
                  </from>
                  <to>
                    <xdr:col>4</xdr:col>
                    <xdr:colOff>441960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615B5-8640-477D-BF6E-F066ACA10F13}">
  <sheetPr codeName="Sheet1"/>
  <dimension ref="A1:X1048576"/>
  <sheetViews>
    <sheetView zoomScaleNormal="100" workbookViewId="0">
      <selection activeCell="H13" sqref="H13"/>
    </sheetView>
  </sheetViews>
  <sheetFormatPr defaultRowHeight="14.4" x14ac:dyDescent="0.3"/>
  <cols>
    <col min="1" max="1" width="16.6640625" style="1" customWidth="1"/>
    <col min="2" max="2" width="12.5546875" style="1" customWidth="1"/>
    <col min="3" max="3" width="17.109375" style="1" customWidth="1"/>
    <col min="4" max="4" width="8.88671875" style="1"/>
    <col min="5" max="5" width="20.33203125" style="1" customWidth="1"/>
    <col min="6" max="6" width="16.77734375" style="1" customWidth="1"/>
    <col min="7" max="7" width="17.88671875" style="1" customWidth="1"/>
    <col min="8" max="8" width="9.77734375" style="1" customWidth="1"/>
    <col min="9" max="9" width="11.44140625" style="1" customWidth="1"/>
    <col min="10" max="10" width="8.88671875" style="1"/>
    <col min="11" max="23" width="10.5546875" style="1" customWidth="1"/>
    <col min="24" max="24" width="13" style="1" customWidth="1"/>
    <col min="25" max="16384" width="8.88671875" style="1"/>
  </cols>
  <sheetData>
    <row r="1" spans="1:24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0</v>
      </c>
      <c r="K1" s="1" t="s">
        <v>13</v>
      </c>
      <c r="L1" s="1" t="s">
        <v>28</v>
      </c>
      <c r="M1" s="1" t="s">
        <v>29</v>
      </c>
      <c r="N1" s="1" t="s">
        <v>14</v>
      </c>
      <c r="O1" s="1" t="s">
        <v>17</v>
      </c>
      <c r="P1" s="1" t="s">
        <v>18</v>
      </c>
      <c r="Q1" s="1" t="s">
        <v>19</v>
      </c>
      <c r="R1" s="1" t="s">
        <v>30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31</v>
      </c>
      <c r="X1" s="1" t="s">
        <v>27</v>
      </c>
    </row>
    <row r="1048576" spans="1:10" x14ac:dyDescent="0.3">
      <c r="A1048576" s="1" t="s">
        <v>34</v>
      </c>
      <c r="B1048576" s="1">
        <v>100</v>
      </c>
      <c r="C1048576" s="1">
        <v>268</v>
      </c>
      <c r="D1048576" s="1">
        <v>4</v>
      </c>
      <c r="E1048576" s="1">
        <v>4</v>
      </c>
      <c r="F1048576" s="1">
        <v>4</v>
      </c>
      <c r="G1048576" s="1">
        <v>4</v>
      </c>
      <c r="H1048576" s="1">
        <v>4</v>
      </c>
      <c r="I1048576" s="1">
        <v>4</v>
      </c>
      <c r="J1048576" s="1">
        <v>4</v>
      </c>
    </row>
  </sheetData>
  <sheetProtection selectLockedCells="1" selectUnlockedCells="1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DeleteIngredientsList">
          <controlPr defaultSize="0" autoLine="0" r:id="rId4">
            <anchor moveWithCells="1">
              <from>
                <xdr:col>0</xdr:col>
                <xdr:colOff>1120140</xdr:colOff>
                <xdr:row>21</xdr:row>
                <xdr:rowOff>0</xdr:rowOff>
              </from>
              <to>
                <xdr:col>2</xdr:col>
                <xdr:colOff>640080</xdr:colOff>
                <xdr:row>22</xdr:row>
                <xdr:rowOff>167640</xdr:rowOff>
              </to>
            </anchor>
          </controlPr>
        </control>
      </mc:Choice>
      <mc:Fallback>
        <control shapeId="7169" r:id="rId3" name="DeleteIngredients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0468-8089-4D0A-8E11-5649F37846D1}">
  <sheetPr codeName="Sheet2"/>
  <dimension ref="B7:L34"/>
  <sheetViews>
    <sheetView tabSelected="1" zoomScale="90" zoomScaleNormal="90" workbookViewId="0">
      <selection activeCell="I24" sqref="I24"/>
    </sheetView>
  </sheetViews>
  <sheetFormatPr defaultRowHeight="14.4" x14ac:dyDescent="0.3"/>
  <cols>
    <col min="1" max="1" width="8.88671875" style="1"/>
    <col min="2" max="2" width="18.109375" style="1" bestFit="1" customWidth="1"/>
    <col min="3" max="3" width="13" style="1" customWidth="1"/>
    <col min="4" max="4" width="15.109375" style="1" bestFit="1" customWidth="1"/>
    <col min="5" max="5" width="17.33203125" style="1" bestFit="1" customWidth="1"/>
    <col min="6" max="16384" width="8.88671875" style="1"/>
  </cols>
  <sheetData>
    <row r="7" spans="2:12" ht="15" thickBot="1" x14ac:dyDescent="0.35">
      <c r="I7" s="9"/>
    </row>
    <row r="8" spans="2:12" x14ac:dyDescent="0.3">
      <c r="H8" s="6"/>
      <c r="J8" s="5"/>
      <c r="K8" s="5"/>
      <c r="L8" s="7"/>
    </row>
    <row r="9" spans="2:12" ht="15" thickBot="1" x14ac:dyDescent="0.35">
      <c r="G9" s="10"/>
      <c r="H9" s="31" t="s">
        <v>38</v>
      </c>
      <c r="I9" s="31"/>
      <c r="J9" s="31"/>
      <c r="K9" s="31"/>
      <c r="L9" s="7"/>
    </row>
    <row r="10" spans="2:12" ht="15" thickBot="1" x14ac:dyDescent="0.35">
      <c r="B10" s="11" t="s">
        <v>36</v>
      </c>
      <c r="C10" s="18" t="e">
        <f>SUMPRODUCT(Ingredients!B2:B99, Ingredients!C2:C99) /SUM(Ingredients!B2:B99)</f>
        <v>#DIV/0!</v>
      </c>
      <c r="D10" s="12" t="s">
        <v>37</v>
      </c>
      <c r="E10" s="13" t="e">
        <f>C10*4.184</f>
        <v>#DIV/0!</v>
      </c>
      <c r="H10" s="7"/>
      <c r="I10" s="31" t="s">
        <v>39</v>
      </c>
      <c r="J10" s="31"/>
      <c r="L10" s="7"/>
    </row>
    <row r="11" spans="2:12" x14ac:dyDescent="0.3">
      <c r="B11" s="14" t="s">
        <v>4</v>
      </c>
      <c r="C11" s="19" t="e">
        <f>SUMPRODUCT(Ingredients!B2:B99, Ingredients!D2:D99)/SUM(Ingredients!B2:B99)</f>
        <v>#DIV/0!</v>
      </c>
      <c r="H11" s="32" t="s">
        <v>41</v>
      </c>
      <c r="I11" s="33"/>
      <c r="J11" s="4" t="e">
        <f>C10</f>
        <v>#DIV/0!</v>
      </c>
      <c r="K11" s="10" t="s">
        <v>48</v>
      </c>
    </row>
    <row r="12" spans="2:12" x14ac:dyDescent="0.3">
      <c r="B12" s="14" t="s">
        <v>5</v>
      </c>
      <c r="C12" s="19" t="e">
        <f>SUMPRODUCT(Ingredients!B2:B99, Ingredients!E2:E99)/SUM(Ingredients!B2:B99)</f>
        <v>#DIV/0!</v>
      </c>
      <c r="H12" s="7"/>
      <c r="J12" s="4" t="e">
        <f>E10</f>
        <v>#DIV/0!</v>
      </c>
      <c r="K12" s="10" t="s">
        <v>49</v>
      </c>
    </row>
    <row r="13" spans="2:12" x14ac:dyDescent="0.3">
      <c r="B13" s="14" t="s">
        <v>6</v>
      </c>
      <c r="C13" s="19" t="e">
        <f>SUMPRODUCT(Ingredients!B2:B99, Ingredients!F2:F99) /SUM(Ingredients!B2:B99)</f>
        <v>#DIV/0!</v>
      </c>
      <c r="H13" s="32" t="s">
        <v>42</v>
      </c>
      <c r="I13" s="33"/>
      <c r="J13" s="4" t="e">
        <f>C11</f>
        <v>#DIV/0!</v>
      </c>
      <c r="K13" s="10" t="s">
        <v>50</v>
      </c>
    </row>
    <row r="14" spans="2:12" x14ac:dyDescent="0.3">
      <c r="B14" s="14" t="s">
        <v>7</v>
      </c>
      <c r="C14" s="19" t="e">
        <f>SUMPRODUCT(Ingredients!B2:B99, Ingredients!G2:G99) /SUM(Ingredients!B2:B99)</f>
        <v>#DIV/0!</v>
      </c>
      <c r="H14" s="8" t="s">
        <v>43</v>
      </c>
      <c r="I14" s="3"/>
      <c r="J14" s="4" t="e">
        <f>C12</f>
        <v>#DIV/0!</v>
      </c>
      <c r="K14" s="10" t="s">
        <v>50</v>
      </c>
    </row>
    <row r="15" spans="2:12" x14ac:dyDescent="0.3">
      <c r="B15" s="14" t="s">
        <v>8</v>
      </c>
      <c r="C15" s="19" t="e">
        <f>SUMPRODUCT(Ingredients!B2:B99, Ingredients!H2:H99) /SUM(Ingredients!B2:B99)</f>
        <v>#DIV/0!</v>
      </c>
      <c r="H15" s="8" t="s">
        <v>44</v>
      </c>
      <c r="I15" s="3"/>
      <c r="J15" s="4" t="e">
        <f>C13</f>
        <v>#DIV/0!</v>
      </c>
      <c r="K15" s="10" t="s">
        <v>50</v>
      </c>
    </row>
    <row r="16" spans="2:12" x14ac:dyDescent="0.3">
      <c r="B16" s="14" t="s">
        <v>9</v>
      </c>
      <c r="C16" s="19" t="e">
        <f>SUMPRODUCT(Ingredients!B2:B99, Ingredients!I2:I99)/SUM(Ingredients!B2:B99)</f>
        <v>#DIV/0!</v>
      </c>
      <c r="H16" s="8" t="s">
        <v>45</v>
      </c>
      <c r="I16" s="3"/>
      <c r="J16" s="4" t="e">
        <f>C14</f>
        <v>#DIV/0!</v>
      </c>
      <c r="K16" s="10" t="s">
        <v>50</v>
      </c>
    </row>
    <row r="17" spans="2:12" ht="15" thickBot="1" x14ac:dyDescent="0.35">
      <c r="B17" s="15" t="s">
        <v>0</v>
      </c>
      <c r="C17" s="20" t="e">
        <f>SUMPRODUCT(Ingredients!B2:B99, Ingredients!J2:J99)/SUM(Ingredients!B2:B99)</f>
        <v>#DIV/0!</v>
      </c>
      <c r="H17" s="8" t="s">
        <v>46</v>
      </c>
      <c r="I17" s="3"/>
      <c r="J17" s="4" t="e">
        <f>C16</f>
        <v>#DIV/0!</v>
      </c>
      <c r="K17" s="10" t="s">
        <v>50</v>
      </c>
    </row>
    <row r="18" spans="2:12" x14ac:dyDescent="0.3">
      <c r="H18" s="8" t="s">
        <v>47</v>
      </c>
      <c r="I18" s="3"/>
      <c r="J18" s="4" t="e">
        <f>C17</f>
        <v>#DIV/0!</v>
      </c>
      <c r="K18" s="10" t="s">
        <v>50</v>
      </c>
    </row>
    <row r="19" spans="2:12" x14ac:dyDescent="0.3">
      <c r="B19" s="31" t="s">
        <v>11</v>
      </c>
      <c r="C19" s="31"/>
      <c r="D19" s="31"/>
      <c r="H19" s="7"/>
      <c r="K19" s="10"/>
    </row>
    <row r="20" spans="2:12" x14ac:dyDescent="0.3">
      <c r="B20" s="16"/>
      <c r="C20" s="16" t="s">
        <v>12</v>
      </c>
      <c r="D20" s="16" t="s">
        <v>10</v>
      </c>
      <c r="H20" s="28" t="s">
        <v>40</v>
      </c>
      <c r="I20" s="29"/>
      <c r="J20" s="29"/>
      <c r="K20" s="30"/>
    </row>
    <row r="21" spans="2:12" x14ac:dyDescent="0.3">
      <c r="B21" s="16" t="s">
        <v>13</v>
      </c>
      <c r="C21" s="16" t="str" cm="1">
        <f t="array" ref="C21">IF(SUMPRODUCT(--ISNUMBER(SEARCH("Yes", Ingredients!K2:K99))) &gt; 0, "Yes", "No")</f>
        <v>No</v>
      </c>
      <c r="D21" s="16" t="str">
        <f>IF(COUNTIF(Ingredients!K2:K99, "Yes") &gt; 0, "-", IF(COUNTIF(Ingredients!K2:K99, "MC") &gt; 0, "Yes", "-"))</f>
        <v>-</v>
      </c>
      <c r="H21" s="22"/>
      <c r="I21" s="23"/>
      <c r="J21" s="23"/>
      <c r="K21" s="24"/>
    </row>
    <row r="22" spans="2:12" ht="58.2" thickBot="1" x14ac:dyDescent="0.35">
      <c r="B22" s="17" t="s">
        <v>15</v>
      </c>
      <c r="C22" s="16" t="str" cm="1">
        <f t="array" ref="C22">IF(SUMPRODUCT(--ISNUMBER(SEARCH("Yes", Ingredients!L2:L99))) &gt; 0, "Yes", "No")</f>
        <v>No</v>
      </c>
      <c r="D22" s="16" t="str">
        <f>IF(COUNTIF(Ingredients!L2:L99, "Yes") &gt; 0, "-", IF(COUNTIF(Ingredients!L2:L99, "MC") &gt; 0, "Yes", "-"))</f>
        <v>-</v>
      </c>
      <c r="H22" s="25"/>
      <c r="I22" s="26"/>
      <c r="J22" s="26"/>
      <c r="K22" s="27"/>
      <c r="L22" s="7"/>
    </row>
    <row r="23" spans="2:12" ht="43.2" x14ac:dyDescent="0.3">
      <c r="B23" s="17" t="s">
        <v>16</v>
      </c>
      <c r="C23" s="16" t="str" cm="1">
        <f t="array" ref="C23">IF(SUMPRODUCT(--ISNUMBER(SEARCH("Yes", Ingredients!M2:M99))) &gt; 0, "Yes", "No")</f>
        <v>No</v>
      </c>
      <c r="D23" s="16" t="str">
        <f>IF(COUNTIF(Ingredients!M2:M99, "Yes") &gt; 0, "-", IF(COUNTIF(Ingredients!M2:M99, "MC") &gt; 0, "Yes", "-"))</f>
        <v>-</v>
      </c>
    </row>
    <row r="24" spans="2:12" x14ac:dyDescent="0.3">
      <c r="B24" s="16" t="s">
        <v>14</v>
      </c>
      <c r="C24" s="16" t="str" cm="1">
        <f t="array" ref="C24">IF(SUMPRODUCT(--ISNUMBER(SEARCH("Yes", Ingredients!N2:N99))) &gt; 0, "Yes", "No")</f>
        <v>No</v>
      </c>
      <c r="D24" s="16" t="str">
        <f>IF(COUNTIF(Ingredients!N2:N99, "Yes") &gt; 0, "-", IF(COUNTIF(Ingredients!N2:N99, "MC") &gt; 0, "Yes", "-"))</f>
        <v>-</v>
      </c>
    </row>
    <row r="25" spans="2:12" x14ac:dyDescent="0.3">
      <c r="B25" s="16" t="s">
        <v>17</v>
      </c>
      <c r="C25" s="16" t="str" cm="1">
        <f t="array" ref="C25">IF(SUMPRODUCT(--ISNUMBER(SEARCH("Yes", Ingredients!O2:O99))) &gt; 0, "Yes", "No")</f>
        <v>No</v>
      </c>
      <c r="D25" s="16" t="str">
        <f>IF(COUNTIF(Ingredients!O2:O99, "Yes") &gt; 0, "-", IF(COUNTIF(Ingredients!O2:O99, "MC") &gt; 0, "Yes", "-"))</f>
        <v>-</v>
      </c>
    </row>
    <row r="26" spans="2:12" x14ac:dyDescent="0.3">
      <c r="B26" s="16" t="s">
        <v>18</v>
      </c>
      <c r="C26" s="16" t="str" cm="1">
        <f t="array" ref="C26">IF(SUMPRODUCT(--ISNUMBER(SEARCH("Yes", Ingredients!P2:P99))) &gt; 0, "Yes", "No")</f>
        <v>No</v>
      </c>
      <c r="D26" s="16" t="str">
        <f>IF(COUNTIF(Ingredients!P2:P99, "Yes") &gt; 0, "-", IF(COUNTIF(Ingredients!P2:P99, "MC") &gt; 0, "Yes", "-"))</f>
        <v>-</v>
      </c>
    </row>
    <row r="27" spans="2:12" x14ac:dyDescent="0.3">
      <c r="B27" s="16" t="s">
        <v>19</v>
      </c>
      <c r="C27" s="16" t="str" cm="1">
        <f t="array" ref="C27">IF(SUMPRODUCT(--ISNUMBER(SEARCH("Yes", Ingredients!Q2:Q99))) &gt; 0, "Yes", "No")</f>
        <v>No</v>
      </c>
      <c r="D27" s="16" t="str">
        <f>IF(COUNTIF(Ingredients!Q2:Q99, "Yes") &gt; 0, "-", IF(COUNTIF(Ingredients!Q2:Q99, "MC") &gt; 0, "Yes", "-"))</f>
        <v>-</v>
      </c>
    </row>
    <row r="28" spans="2:12" ht="28.8" x14ac:dyDescent="0.3">
      <c r="B28" s="17" t="s">
        <v>20</v>
      </c>
      <c r="C28" s="16" t="str" cm="1">
        <f t="array" ref="C28">IF(SUMPRODUCT(--ISNUMBER(SEARCH("Yes", Ingredients!R2:R99))) &gt; 0, "Yes", "No")</f>
        <v>No</v>
      </c>
      <c r="D28" s="16" t="str">
        <f>IF(COUNTIF(Ingredients!R2:R99, "Yes") &gt; 0, "-", IF(COUNTIF(Ingredients!R2:R99, "MC") &gt; 0, "Yes", "-"))</f>
        <v>-</v>
      </c>
    </row>
    <row r="29" spans="2:12" x14ac:dyDescent="0.3">
      <c r="B29" s="16" t="s">
        <v>21</v>
      </c>
      <c r="C29" s="16" t="str" cm="1">
        <f t="array" ref="C29">IF(SUMPRODUCT(--ISNUMBER(SEARCH("Yes", Ingredients!S2:S99))) &gt; 0, "Yes", "No")</f>
        <v>No</v>
      </c>
      <c r="D29" s="16" t="str">
        <f>IF(COUNTIF(Ingredients!S2:S99, "Yes") &gt; 0, "-", IF(COUNTIF(Ingredients!S2:S99, "MC") &gt; 0, "Yes", "-"))</f>
        <v>-</v>
      </c>
    </row>
    <row r="30" spans="2:12" x14ac:dyDescent="0.3">
      <c r="B30" s="16" t="s">
        <v>22</v>
      </c>
      <c r="C30" s="16" t="str" cm="1">
        <f t="array" ref="C30">IF(SUMPRODUCT(--ISNUMBER(SEARCH("Yes", Ingredients!T2:T99))) &gt; 0, "Yes", "No")</f>
        <v>No</v>
      </c>
      <c r="D30" s="16" t="str">
        <f>IF(COUNTIF(Ingredients!T2:T99, "Yes") &gt; 0, "-", IF(COUNTIF(Ingredients!T2:T99, "MC") &gt; 0, "Yes", "-"))</f>
        <v>-</v>
      </c>
    </row>
    <row r="31" spans="2:12" x14ac:dyDescent="0.3">
      <c r="B31" s="16" t="s">
        <v>23</v>
      </c>
      <c r="C31" s="16" t="str" cm="1">
        <f t="array" ref="C31">IF(SUMPRODUCT(--ISNUMBER(SEARCH("Yes", Ingredients!U2:U99))) &gt; 0, "Yes", "No")</f>
        <v>No</v>
      </c>
      <c r="D31" s="16" t="str">
        <f>IF(COUNTIF(Ingredients!U2:U99, "Yes") &gt; 0, "-", IF(COUNTIF(Ingredients!U2:U99, "MC") &gt; 0, "Yes", "-"))</f>
        <v>-</v>
      </c>
    </row>
    <row r="32" spans="2:12" x14ac:dyDescent="0.3">
      <c r="B32" s="16" t="s">
        <v>24</v>
      </c>
      <c r="C32" s="16" t="str" cm="1">
        <f t="array" ref="C32">IF(SUMPRODUCT(--ISNUMBER(SEARCH("Yes", Ingredients!V2:V99))) &gt; 0, "Yes", "No")</f>
        <v>No</v>
      </c>
      <c r="D32" s="16" t="str">
        <f>IF(COUNTIF(Ingredients!V2:V99, "Yes") &gt; 0, "-", IF(COUNTIF(Ingredients!V2:V99, "MC") &gt; 0, "Yes", "-"))</f>
        <v>-</v>
      </c>
    </row>
    <row r="33" spans="2:4" ht="86.4" x14ac:dyDescent="0.3">
      <c r="B33" s="17" t="s">
        <v>25</v>
      </c>
      <c r="C33" s="16" t="str" cm="1">
        <f t="array" ref="C33">IF(SUMPRODUCT(--ISNUMBER(SEARCH("Yes", Ingredients!W2:W99))) &gt; 0, "Yes", "No")</f>
        <v>No</v>
      </c>
      <c r="D33" s="16" t="str">
        <f>IF(COUNTIF(Ingredients!W2:W99, "Yes") &gt; 0, "-", IF(COUNTIF(Ingredients!W2:W99, "MC") &gt; 0, "Yes", "-"))</f>
        <v>-</v>
      </c>
    </row>
    <row r="34" spans="2:4" ht="28.8" x14ac:dyDescent="0.3">
      <c r="B34" s="17" t="s">
        <v>26</v>
      </c>
      <c r="C34" s="16" t="str" cm="1">
        <f t="array" ref="C34">IF(SUMPRODUCT(--ISNUMBER(SEARCH("Yes", Ingredients!X2:X99))) &gt; 0, "Yes", "No")</f>
        <v>No</v>
      </c>
      <c r="D34" s="16" t="str">
        <f>IF(COUNTIF(Ingredients!X2:X99, "Yes") &gt; 0, "-", IF(COUNTIF(Ingredients!X2:X99, "MC") &gt; 0, "Yes", "-"))</f>
        <v>-</v>
      </c>
    </row>
  </sheetData>
  <sheetProtection selectLockedCells="1" selectUnlockedCells="1"/>
  <mergeCells count="7">
    <mergeCell ref="H21:K22"/>
    <mergeCell ref="H20:K20"/>
    <mergeCell ref="B19:D19"/>
    <mergeCell ref="H9:K9"/>
    <mergeCell ref="H11:I11"/>
    <mergeCell ref="H13:I13"/>
    <mergeCell ref="I10:J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FinalIngredientsList">
                <anchor moveWithCells="1" sizeWithCells="1">
                  <from>
                    <xdr:col>7</xdr:col>
                    <xdr:colOff>15240</xdr:colOff>
                    <xdr:row>22</xdr:row>
                    <xdr:rowOff>83820</xdr:rowOff>
                  </from>
                  <to>
                    <xdr:col>10</xdr:col>
                    <xdr:colOff>571500</xdr:colOff>
                    <xdr:row>22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B8AC3-70CC-4395-91FF-B9A9584EAE39}">
  <sheetPr codeName="Sheet3"/>
  <dimension ref="A1:A2"/>
  <sheetViews>
    <sheetView workbookViewId="0">
      <selection activeCell="E15" sqref="E15"/>
    </sheetView>
  </sheetViews>
  <sheetFormatPr defaultRowHeight="14.4" x14ac:dyDescent="0.3"/>
  <sheetData>
    <row r="1" spans="1:1" x14ac:dyDescent="0.3">
      <c r="A1" t="s">
        <v>32</v>
      </c>
    </row>
    <row r="2" spans="1:1" x14ac:dyDescent="0.3">
      <c r="A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ADDING INGREDIENTS</vt:lpstr>
      <vt:lpstr>Ingredients</vt:lpstr>
      <vt:lpstr>Summary</vt:lpstr>
      <vt:lpstr>FormControl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ahamed fahdan</dc:creator>
  <cp:lastModifiedBy>ahamed fahdan</cp:lastModifiedBy>
  <dcterms:created xsi:type="dcterms:W3CDTF">2025-02-15T10:17:03Z</dcterms:created>
  <dcterms:modified xsi:type="dcterms:W3CDTF">2025-02-17T20:52:58Z</dcterms:modified>
</cp:coreProperties>
</file>